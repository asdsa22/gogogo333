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new_bot\data\"/>
    </mc:Choice>
  </mc:AlternateContent>
  <xr:revisionPtr revIDLastSave="0" documentId="13_ncr:1_{A0B958E6-E217-4408-B965-D22DB3814B40}" xr6:coauthVersionLast="45" xr6:coauthVersionMax="45" xr10:uidLastSave="{00000000-0000-0000-0000-000000000000}"/>
  <bookViews>
    <workbookView xWindow="-120" yWindow="-120" windowWidth="29040" windowHeight="17520" activeTab="1" xr2:uid="{00000000-000D-0000-FFFF-FFFF00000000}"/>
  </bookViews>
  <sheets>
    <sheet name="레이드설정" sheetId="1" r:id="rId1"/>
    <sheet name="DATA" sheetId="2" r:id="rId2"/>
  </sheets>
  <definedNames>
    <definedName name="_xlnm._FilterDatabase" localSheetId="1" hidden="1">DATA!$I$51:$K$51</definedName>
  </definedNames>
  <calcPr calcId="191029"/>
</workbook>
</file>

<file path=xl/calcChain.xml><?xml version="1.0" encoding="utf-8"?>
<calcChain xmlns="http://schemas.openxmlformats.org/spreadsheetml/2006/main">
  <c r="D23" i="2" l="1"/>
  <c r="D21" i="2"/>
  <c r="D19" i="2"/>
  <c r="D17" i="2"/>
  <c r="D86" i="2"/>
  <c r="D73" i="2"/>
  <c r="D65" i="2"/>
  <c r="D56" i="2"/>
  <c r="D48" i="2"/>
  <c r="D38" i="2"/>
  <c r="D31" i="2"/>
  <c r="D25" i="2"/>
</calcChain>
</file>

<file path=xl/sharedStrings.xml><?xml version="1.0" encoding="utf-8"?>
<sst xmlns="http://schemas.openxmlformats.org/spreadsheetml/2006/main" count="290" uniqueCount="153">
  <si>
    <t>활성화여부</t>
  </si>
  <si>
    <t>표시이름</t>
  </si>
  <si>
    <t>이모지</t>
  </si>
  <si>
    <t>색상HEX</t>
  </si>
  <si>
    <t>입장권소모</t>
  </si>
  <si>
    <t>HP최솟값</t>
  </si>
  <si>
    <t>HP최댓값</t>
  </si>
  <si>
    <t>참여자당HP증가</t>
  </si>
  <si>
    <t>제한시간(초)</t>
  </si>
  <si>
    <t>이벤트여부</t>
  </si>
  <si>
    <t>펫경험치</t>
  </si>
  <si>
    <t>최소공격횟수</t>
  </si>
  <si>
    <t>1단계HP</t>
  </si>
  <si>
    <t>1단계시간(초)</t>
  </si>
  <si>
    <t>1단계패턴</t>
  </si>
  <si>
    <t>2단계HP</t>
  </si>
  <si>
    <t>2단계시간(초)</t>
  </si>
  <si>
    <t>2단계패턴</t>
  </si>
  <si>
    <t>최종패턴</t>
  </si>
  <si>
    <t>1→2_NPC</t>
  </si>
  <si>
    <t>1→2_대사1</t>
  </si>
  <si>
    <t>1→2_대사2</t>
  </si>
  <si>
    <t>2→최종_NPC</t>
  </si>
  <si>
    <t>2→최종_대사1</t>
  </si>
  <si>
    <t>2→최종_대사2</t>
  </si>
  <si>
    <t>O</t>
  </si>
  <si>
    <t>월드보스</t>
  </si>
  <si>
    <t>🌍</t>
  </si>
  <si>
    <t>FF6F00</t>
  </si>
  <si>
    <t>1,2,3,8,10,11,12,13</t>
  </si>
  <si>
    <t>이벤트</t>
  </si>
  <si>
    <t>🎉</t>
  </si>
  <si>
    <t>하급</t>
  </si>
  <si>
    <t>🟢</t>
  </si>
  <si>
    <t>4CAF50</t>
  </si>
  <si>
    <t>1,2,11</t>
  </si>
  <si>
    <t>중급</t>
  </si>
  <si>
    <t>🔵</t>
  </si>
  <si>
    <t>2196F3</t>
  </si>
  <si>
    <t>1,2,3,8,9,10,11,12,13</t>
  </si>
  <si>
    <t>상급</t>
  </si>
  <si>
    <t>🟡</t>
  </si>
  <si>
    <t>FFC107</t>
  </si>
  <si>
    <t>칠흑</t>
  </si>
  <si>
    <t>🟣</t>
  </si>
  <si>
    <t>9C27B0</t>
  </si>
  <si>
    <t>1,2,3,7,8,9,10,11,12,13</t>
  </si>
  <si>
    <t>지옥</t>
  </si>
  <si>
    <t>🔴</t>
  </si>
  <si>
    <t>FF1744</t>
  </si>
  <si>
    <t>1,2,3,4,6,8,9,10,11,12,13</t>
  </si>
  <si>
    <t>지옥2</t>
  </si>
  <si>
    <t>💀</t>
  </si>
  <si>
    <t>880000</t>
  </si>
  <si>
    <t>1,2,3,4,5,6,8,9,10,11,12,13</t>
  </si>
  <si>
    <t>헤티아</t>
  </si>
  <si>
    <t>어리석은놈.. 겨우이정도밖에안되는거냐?</t>
  </si>
  <si>
    <t>일어나 다시나를위해싸워라</t>
  </si>
  <si>
    <t>지옥3</t>
  </si>
  <si>
    <t>🔥</t>
  </si>
  <si>
    <t>B71C1C</t>
  </si>
  <si>
    <t>1,2,3</t>
  </si>
  <si>
    <t>6,7</t>
  </si>
  <si>
    <t>파닥몬</t>
  </si>
  <si>
    <t xml:space="preserve">왜..나만 진화못하는거야 </t>
  </si>
  <si>
    <t>파닥몬 진화…!</t>
  </si>
  <si>
    <t>어리석은놈.. 내가 직접 진화시켜주지</t>
  </si>
  <si>
    <t>진화해서 나를 위해 싸우거라!</t>
  </si>
  <si>
    <t>암산 문제 (덧셈/뺄셈/곱셈)</t>
  </si>
  <si>
    <t>이모지 9개 중 1개 선택</t>
  </si>
  <si>
    <t>타자 검정 (문구 정확히 입력)</t>
  </si>
  <si>
    <t>색깔 맞추기 4연속</t>
  </si>
  <si>
    <t>색깔 맞추기 6연속</t>
  </si>
  <si>
    <t>캐릭버프 전용 — 캐릭터 버프 있어야 데미지 입힘 (2분)</t>
  </si>
  <si>
    <t>펫버프 전용 — 펫 버프 있어야 펫 데미지 입힘 (2분)</t>
  </si>
  <si>
    <t>반응속도 테스트 (3초 카운트다운 후 버튼 클릭)</t>
  </si>
  <si>
    <t>폭탄 돌리기 (딜 TOP5 중 전달, 최종 소지자 1분 딜감소)</t>
  </si>
  <si>
    <t>가위바위보 (이기면 버프, 지면 1분 딜 50% 감소)</t>
  </si>
  <si>
    <t>룰렛 (30% 확률로 전체 딜 1분 2배)</t>
  </si>
  <si>
    <t>거꾸로 타자 (단어 뒤집어서 입력)</t>
  </si>
  <si>
    <t>초성 퀴즈 (초성으로 단어 맞추기)</t>
  </si>
  <si>
    <t>패턴KEY</t>
  </si>
  <si>
    <t>패턴코드</t>
  </si>
  <si>
    <t>설명</t>
  </si>
  <si>
    <t>calc</t>
  </si>
  <si>
    <t>emoji</t>
  </si>
  <si>
    <t>typing</t>
  </si>
  <si>
    <t>color</t>
  </si>
  <si>
    <t>color6</t>
  </si>
  <si>
    <t>char_only</t>
  </si>
  <si>
    <t>캐릭버프 전용 — 캐릭터 버프or서포터스킬써야  데미지 입힘 (2분)</t>
  </si>
  <si>
    <t>pet_only</t>
  </si>
  <si>
    <t>펫버프 전용 — 펫 버프or서포터스킬써야 있어야 펫 데미지 입힘 (2분)</t>
  </si>
  <si>
    <t>reaction</t>
  </si>
  <si>
    <t>bomb</t>
  </si>
  <si>
    <t>폭탄 돌리기 (딜 TOP5 중 전달, 최종 소지자 1분 딜0데미지 , 남은랜덤1명 딜1분2배)</t>
  </si>
  <si>
    <t>rps</t>
  </si>
  <si>
    <t>roulette</t>
  </si>
  <si>
    <t>reverse</t>
  </si>
  <si>
    <t>chosung</t>
  </si>
  <si>
    <t>보상테이블</t>
  </si>
  <si>
    <t>아이템KEY</t>
  </si>
  <si>
    <t>weight</t>
  </si>
  <si>
    <t>(참고: items.xlsx 아이템키 사용)</t>
  </si>
  <si>
    <t>지옥의불꽃_150</t>
  </si>
  <si>
    <t>소환권상자_20</t>
  </si>
  <si>
    <t>강화권_6</t>
  </si>
  <si>
    <t>펫경문_1000</t>
  </si>
  <si>
    <t>펫경문_2000</t>
  </si>
  <si>
    <t>초기화꾸러미</t>
  </si>
  <si>
    <t>정제된강화석_40</t>
  </si>
  <si>
    <t>소환권상자_5</t>
  </si>
  <si>
    <t>강화권_2</t>
  </si>
  <si>
    <t>펫경문_300</t>
  </si>
  <si>
    <t>마력결정체_60</t>
  </si>
  <si>
    <t>월경크레딧</t>
  </si>
  <si>
    <t>강화권_3</t>
  </si>
  <si>
    <t>소환권상자_10</t>
  </si>
  <si>
    <t>각성제</t>
  </si>
  <si>
    <t>배진강화제</t>
  </si>
  <si>
    <t>스탯상자_1</t>
  </si>
  <si>
    <t>펫경문_500</t>
  </si>
  <si>
    <t>쿵야알</t>
  </si>
  <si>
    <t>칠흑의정수_100</t>
  </si>
  <si>
    <t>강화권_4</t>
  </si>
  <si>
    <t>스탯상자_2</t>
  </si>
  <si>
    <t>펫경문_700</t>
  </si>
  <si>
    <t>불지옥의불꽃_400</t>
  </si>
  <si>
    <t>공룡알</t>
  </si>
  <si>
    <t>펫경문_3000</t>
  </si>
  <si>
    <t>강화권_5</t>
  </si>
  <si>
    <t>스탯상자_3</t>
  </si>
  <si>
    <t>지정초기화구슬</t>
  </si>
  <si>
    <t>언딘알</t>
  </si>
  <si>
    <t>카오닉스알</t>
  </si>
  <si>
    <t>월드보스_1</t>
  </si>
  <si>
    <t>월드보스_2</t>
  </si>
  <si>
    <t>월드보스_3</t>
  </si>
  <si>
    <t>월드보스_참가</t>
  </si>
  <si>
    <t>펫경문_2000</t>
    <phoneticPr fontId="3" type="noConversion"/>
  </si>
  <si>
    <t>칠흑의정수_100</t>
    <phoneticPr fontId="3" type="noConversion"/>
  </si>
  <si>
    <t>펫경문_500</t>
    <phoneticPr fontId="3" type="noConversion"/>
  </si>
  <si>
    <t>펫경문_300</t>
    <phoneticPr fontId="3" type="noConversion"/>
  </si>
  <si>
    <t>정제된강화석_40</t>
    <phoneticPr fontId="3" type="noConversion"/>
  </si>
  <si>
    <t>강화석_10</t>
    <phoneticPr fontId="3" type="noConversion"/>
  </si>
  <si>
    <t>마력결정체_60</t>
    <phoneticPr fontId="3" type="noConversion"/>
  </si>
  <si>
    <t>1,2,3,4,5,6,7,8,9,10,11,12,13</t>
    <phoneticPr fontId="3" type="noConversion"/>
  </si>
  <si>
    <t>펫경문_700</t>
    <phoneticPr fontId="3" type="noConversion"/>
  </si>
  <si>
    <t>초기화구슬</t>
    <phoneticPr fontId="3" type="noConversion"/>
  </si>
  <si>
    <t>완전초기화구슬</t>
    <phoneticPr fontId="3" type="noConversion"/>
  </si>
  <si>
    <t>신수알</t>
    <phoneticPr fontId="3" type="noConversion"/>
  </si>
  <si>
    <t>행운초기화구슬</t>
  </si>
  <si>
    <t>행운초기화구슬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</si>
</sst>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6" borderId="1" xfId="0" applyFont="1" applyFill="1" applyBorder="1"/>
    <xf numFmtId="0" fontId="0" fillId="0" borderId="1" xfId="0" applyBorder="1"/>
    <xf numFmtId="0" fontId="2" fillId="7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10" xfId="0" applyBorder="1" applyAlignment="1">
      <alignment horizontal="center"/>
    </xf>
    <xf numFmtId="176" fontId="4" fillId="0" borderId="11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76" fontId="5" fillId="0" borderId="12" xfId="0" applyNumberFormat="1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0" fontId="0" fillId="0" borderId="1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workbookViewId="0">
      <selection activeCell="I19" sqref="I19:I20"/>
    </sheetView>
  </sheetViews>
  <sheetFormatPr defaultRowHeight="16.5" x14ac:dyDescent="0.3"/>
  <cols>
    <col min="1" max="2" width="10" style="14" customWidth="1"/>
    <col min="3" max="3" width="6" style="14" customWidth="1"/>
    <col min="4" max="5" width="10" style="14" customWidth="1"/>
    <col min="6" max="7" width="12" style="14" customWidth="1"/>
    <col min="8" max="8" width="14" style="14" customWidth="1"/>
    <col min="9" max="9" width="12" style="14" customWidth="1"/>
    <col min="10" max="11" width="10" style="14" customWidth="1"/>
    <col min="12" max="12" width="12" style="14" customWidth="1"/>
    <col min="13" max="13" width="10" style="14" customWidth="1"/>
    <col min="14" max="15" width="12" style="14" customWidth="1"/>
    <col min="16" max="16" width="10" style="14" customWidth="1"/>
    <col min="17" max="18" width="12" style="14" customWidth="1"/>
    <col min="19" max="19" width="14" style="14" customWidth="1"/>
    <col min="20" max="20" width="12" style="14" customWidth="1"/>
    <col min="21" max="22" width="35" style="14" customWidth="1"/>
    <col min="23" max="23" width="12" style="14" customWidth="1"/>
    <col min="24" max="25" width="35" style="14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5" t="s">
        <v>25</v>
      </c>
      <c r="B2" s="5" t="s">
        <v>26</v>
      </c>
      <c r="C2" s="5" t="s">
        <v>27</v>
      </c>
      <c r="D2" s="5" t="s">
        <v>28</v>
      </c>
      <c r="E2" s="5">
        <v>0</v>
      </c>
      <c r="F2" s="5">
        <v>20000000</v>
      </c>
      <c r="G2" s="5">
        <v>23000000</v>
      </c>
      <c r="H2" s="5">
        <v>0</v>
      </c>
      <c r="I2" s="5">
        <v>360</v>
      </c>
      <c r="J2" s="5" t="s">
        <v>25</v>
      </c>
      <c r="K2" s="5">
        <v>0</v>
      </c>
      <c r="L2" s="5">
        <v>1</v>
      </c>
      <c r="S2" t="s">
        <v>146</v>
      </c>
    </row>
    <row r="3" spans="1:25" x14ac:dyDescent="0.3">
      <c r="A3" s="5" t="s">
        <v>25</v>
      </c>
      <c r="B3" s="5" t="s">
        <v>30</v>
      </c>
      <c r="C3" s="5" t="s">
        <v>31</v>
      </c>
      <c r="D3" s="5" t="s">
        <v>28</v>
      </c>
      <c r="E3" s="5">
        <v>0</v>
      </c>
      <c r="F3" s="5">
        <v>90000</v>
      </c>
      <c r="G3" s="5">
        <v>120000</v>
      </c>
      <c r="H3" s="5">
        <v>0</v>
      </c>
      <c r="I3" s="5">
        <v>600</v>
      </c>
      <c r="J3" s="5" t="s">
        <v>25</v>
      </c>
      <c r="K3" s="5">
        <v>300</v>
      </c>
      <c r="L3" s="5">
        <v>1</v>
      </c>
      <c r="M3" s="15"/>
      <c r="N3" s="5"/>
      <c r="O3" s="5"/>
      <c r="P3" s="5"/>
      <c r="Q3" s="5"/>
      <c r="R3" s="5"/>
      <c r="S3" s="5" t="s">
        <v>29</v>
      </c>
      <c r="T3" s="5"/>
      <c r="U3" s="5"/>
      <c r="V3" s="5"/>
      <c r="W3" s="5"/>
      <c r="X3" s="5"/>
      <c r="Y3" s="5"/>
    </row>
    <row r="4" spans="1:25" x14ac:dyDescent="0.3">
      <c r="A4" s="5" t="s">
        <v>25</v>
      </c>
      <c r="B4" s="5" t="s">
        <v>32</v>
      </c>
      <c r="C4" s="5" t="s">
        <v>33</v>
      </c>
      <c r="D4" s="5" t="s">
        <v>34</v>
      </c>
      <c r="E4" s="5">
        <v>5</v>
      </c>
      <c r="F4" s="5">
        <v>30000</v>
      </c>
      <c r="G4" s="5">
        <v>40000</v>
      </c>
      <c r="H4" s="5">
        <v>0</v>
      </c>
      <c r="I4" s="5">
        <v>600</v>
      </c>
      <c r="J4" s="5"/>
      <c r="K4" s="5">
        <v>100</v>
      </c>
      <c r="L4" s="5">
        <v>1</v>
      </c>
      <c r="M4" s="15"/>
      <c r="N4" s="5"/>
      <c r="O4" s="5"/>
      <c r="P4" s="5"/>
      <c r="Q4" s="5"/>
      <c r="R4" s="5"/>
      <c r="S4" s="5" t="s">
        <v>35</v>
      </c>
      <c r="T4" s="5"/>
      <c r="U4" s="5"/>
      <c r="V4" s="5"/>
      <c r="W4" s="5"/>
      <c r="X4" s="5"/>
      <c r="Y4" s="5"/>
    </row>
    <row r="5" spans="1:25" x14ac:dyDescent="0.3">
      <c r="A5" s="5" t="s">
        <v>25</v>
      </c>
      <c r="B5" s="5" t="s">
        <v>36</v>
      </c>
      <c r="C5" s="5" t="s">
        <v>37</v>
      </c>
      <c r="D5" s="5" t="s">
        <v>38</v>
      </c>
      <c r="E5" s="5">
        <v>10</v>
      </c>
      <c r="F5" s="5">
        <v>80000</v>
      </c>
      <c r="G5" s="5">
        <v>100000</v>
      </c>
      <c r="H5" s="5">
        <v>0</v>
      </c>
      <c r="I5" s="5">
        <v>600</v>
      </c>
      <c r="J5" s="5"/>
      <c r="K5" s="5">
        <v>200</v>
      </c>
      <c r="L5" s="5">
        <v>1</v>
      </c>
      <c r="M5" s="15"/>
      <c r="N5" s="5"/>
      <c r="O5" s="5"/>
      <c r="P5" s="5"/>
      <c r="Q5" s="5"/>
      <c r="R5" s="5"/>
      <c r="S5" s="5" t="s">
        <v>39</v>
      </c>
      <c r="T5" s="5"/>
      <c r="U5" s="5"/>
      <c r="V5" s="5"/>
      <c r="W5" s="5"/>
      <c r="X5" s="5"/>
      <c r="Y5" s="5"/>
    </row>
    <row r="6" spans="1:25" x14ac:dyDescent="0.3">
      <c r="A6" s="5" t="s">
        <v>25</v>
      </c>
      <c r="B6" s="5" t="s">
        <v>40</v>
      </c>
      <c r="C6" s="5" t="s">
        <v>41</v>
      </c>
      <c r="D6" s="5" t="s">
        <v>42</v>
      </c>
      <c r="E6" s="5">
        <v>15</v>
      </c>
      <c r="F6" s="5">
        <v>200000</v>
      </c>
      <c r="G6" s="5">
        <v>220000</v>
      </c>
      <c r="H6" s="5">
        <v>0</v>
      </c>
      <c r="I6" s="5">
        <v>600</v>
      </c>
      <c r="J6" s="5"/>
      <c r="K6" s="5">
        <v>300</v>
      </c>
      <c r="L6" s="5">
        <v>1</v>
      </c>
      <c r="M6" s="15"/>
      <c r="N6" s="5"/>
      <c r="O6" s="5"/>
      <c r="P6" s="5"/>
      <c r="Q6" s="5"/>
      <c r="R6" s="5"/>
      <c r="S6" s="5" t="s">
        <v>39</v>
      </c>
      <c r="T6" s="5"/>
      <c r="U6" s="5"/>
      <c r="V6" s="5"/>
      <c r="W6" s="5"/>
      <c r="X6" s="5"/>
      <c r="Y6" s="5"/>
    </row>
    <row r="7" spans="1:25" x14ac:dyDescent="0.3">
      <c r="A7" s="5" t="s">
        <v>25</v>
      </c>
      <c r="B7" s="5" t="s">
        <v>43</v>
      </c>
      <c r="C7" s="5" t="s">
        <v>44</v>
      </c>
      <c r="D7" s="5" t="s">
        <v>45</v>
      </c>
      <c r="E7" s="5">
        <v>20</v>
      </c>
      <c r="F7" s="5">
        <v>360000</v>
      </c>
      <c r="G7" s="5">
        <v>380000</v>
      </c>
      <c r="H7" s="5">
        <v>0</v>
      </c>
      <c r="I7" s="5">
        <v>600</v>
      </c>
      <c r="J7" s="5"/>
      <c r="K7" s="5">
        <v>400</v>
      </c>
      <c r="L7" s="5">
        <v>1</v>
      </c>
      <c r="M7" s="15"/>
      <c r="N7" s="5"/>
      <c r="O7" s="5"/>
      <c r="P7" s="5"/>
      <c r="Q7" s="5"/>
      <c r="R7" s="5"/>
      <c r="S7" s="5" t="s">
        <v>46</v>
      </c>
      <c r="T7" s="5"/>
      <c r="U7" s="5"/>
      <c r="V7" s="5"/>
      <c r="W7" s="5"/>
      <c r="X7" s="5"/>
      <c r="Y7" s="5"/>
    </row>
    <row r="8" spans="1:25" x14ac:dyDescent="0.3">
      <c r="A8" s="5" t="s">
        <v>25</v>
      </c>
      <c r="B8" s="5" t="s">
        <v>47</v>
      </c>
      <c r="C8" s="5" t="s">
        <v>48</v>
      </c>
      <c r="D8" s="5" t="s">
        <v>49</v>
      </c>
      <c r="E8" s="5">
        <v>25</v>
      </c>
      <c r="F8" s="5">
        <v>520000</v>
      </c>
      <c r="G8" s="5">
        <v>540000</v>
      </c>
      <c r="H8" s="5">
        <v>0</v>
      </c>
      <c r="I8" s="5">
        <v>600</v>
      </c>
      <c r="J8" s="5"/>
      <c r="K8" s="5">
        <v>500</v>
      </c>
      <c r="L8" s="5">
        <v>2</v>
      </c>
      <c r="M8" s="15"/>
      <c r="N8" s="5"/>
      <c r="O8" s="5"/>
      <c r="P8" s="5"/>
      <c r="Q8" s="5"/>
      <c r="R8" s="5"/>
      <c r="S8" s="5" t="s">
        <v>50</v>
      </c>
      <c r="T8" s="5"/>
      <c r="U8" s="5"/>
      <c r="V8" s="5"/>
      <c r="W8" s="5"/>
      <c r="X8" s="5"/>
      <c r="Y8" s="5"/>
    </row>
    <row r="9" spans="1:25" x14ac:dyDescent="0.3">
      <c r="A9" s="5" t="s">
        <v>25</v>
      </c>
      <c r="B9" s="5" t="s">
        <v>51</v>
      </c>
      <c r="C9" s="5" t="s">
        <v>52</v>
      </c>
      <c r="D9" s="5" t="s">
        <v>53</v>
      </c>
      <c r="E9" s="5">
        <v>25</v>
      </c>
      <c r="F9" s="5">
        <v>600000</v>
      </c>
      <c r="G9" s="5">
        <v>620000</v>
      </c>
      <c r="H9" s="5">
        <v>0</v>
      </c>
      <c r="I9" s="5">
        <v>600</v>
      </c>
      <c r="J9" s="5"/>
      <c r="K9" s="5">
        <v>600</v>
      </c>
      <c r="L9" s="5">
        <v>2</v>
      </c>
      <c r="M9" s="15">
        <v>60000</v>
      </c>
      <c r="N9" s="5">
        <v>60</v>
      </c>
      <c r="O9" s="5"/>
      <c r="P9" s="5"/>
      <c r="Q9" s="5"/>
      <c r="R9" s="5"/>
      <c r="S9" s="5" t="s">
        <v>54</v>
      </c>
      <c r="T9" s="5" t="s">
        <v>55</v>
      </c>
      <c r="U9" s="5" t="s">
        <v>56</v>
      </c>
      <c r="V9" s="5" t="s">
        <v>57</v>
      </c>
      <c r="W9" s="5"/>
      <c r="X9" s="5"/>
      <c r="Y9" s="5"/>
    </row>
    <row r="10" spans="1:25" x14ac:dyDescent="0.3">
      <c r="A10" s="5" t="s">
        <v>25</v>
      </c>
      <c r="B10" s="5" t="s">
        <v>58</v>
      </c>
      <c r="C10" s="5" t="s">
        <v>59</v>
      </c>
      <c r="D10" s="5" t="s">
        <v>60</v>
      </c>
      <c r="E10" s="5">
        <v>25</v>
      </c>
      <c r="F10" s="5">
        <v>600000</v>
      </c>
      <c r="G10" s="5">
        <v>620000</v>
      </c>
      <c r="H10" s="5">
        <v>0</v>
      </c>
      <c r="I10" s="5">
        <v>600</v>
      </c>
      <c r="J10" s="5"/>
      <c r="K10" s="5">
        <v>700</v>
      </c>
      <c r="L10" s="5">
        <v>2</v>
      </c>
      <c r="M10" s="15">
        <v>70000</v>
      </c>
      <c r="N10" s="5">
        <v>60</v>
      </c>
      <c r="O10" s="5"/>
      <c r="P10" s="5">
        <v>350000</v>
      </c>
      <c r="Q10" s="5">
        <v>300</v>
      </c>
      <c r="R10" s="5" t="s">
        <v>61</v>
      </c>
      <c r="S10" s="5" t="s">
        <v>62</v>
      </c>
      <c r="T10" s="5" t="s">
        <v>63</v>
      </c>
      <c r="U10" s="5" t="s">
        <v>64</v>
      </c>
      <c r="V10" s="5" t="s">
        <v>65</v>
      </c>
      <c r="W10" s="5" t="s">
        <v>55</v>
      </c>
      <c r="X10" s="5" t="s">
        <v>66</v>
      </c>
      <c r="Y10" s="5" t="s">
        <v>67</v>
      </c>
    </row>
    <row r="13" spans="1:25" x14ac:dyDescent="0.3">
      <c r="S13" s="5"/>
    </row>
    <row r="16" spans="1:25" x14ac:dyDescent="0.3">
      <c r="P16">
        <v>1</v>
      </c>
      <c r="R16" t="s">
        <v>68</v>
      </c>
    </row>
    <row r="17" spans="16:18" x14ac:dyDescent="0.3">
      <c r="P17">
        <v>2</v>
      </c>
      <c r="R17" t="s">
        <v>69</v>
      </c>
    </row>
    <row r="18" spans="16:18" x14ac:dyDescent="0.3">
      <c r="P18">
        <v>3</v>
      </c>
      <c r="R18" t="s">
        <v>70</v>
      </c>
    </row>
    <row r="19" spans="16:18" x14ac:dyDescent="0.3">
      <c r="P19">
        <v>4</v>
      </c>
      <c r="R19" t="s">
        <v>71</v>
      </c>
    </row>
    <row r="20" spans="16:18" x14ac:dyDescent="0.3">
      <c r="P20">
        <v>5</v>
      </c>
      <c r="R20" t="s">
        <v>72</v>
      </c>
    </row>
    <row r="21" spans="16:18" x14ac:dyDescent="0.3">
      <c r="P21">
        <v>6</v>
      </c>
      <c r="R21" t="s">
        <v>73</v>
      </c>
    </row>
    <row r="22" spans="16:18" x14ac:dyDescent="0.3">
      <c r="P22">
        <v>7</v>
      </c>
      <c r="R22" t="s">
        <v>74</v>
      </c>
    </row>
    <row r="23" spans="16:18" x14ac:dyDescent="0.3">
      <c r="P23">
        <v>8</v>
      </c>
      <c r="R23" t="s">
        <v>75</v>
      </c>
    </row>
    <row r="24" spans="16:18" x14ac:dyDescent="0.3">
      <c r="P24">
        <v>9</v>
      </c>
      <c r="R24" t="s">
        <v>76</v>
      </c>
    </row>
    <row r="25" spans="16:18" x14ac:dyDescent="0.3">
      <c r="P25">
        <v>10</v>
      </c>
      <c r="R25" t="s">
        <v>77</v>
      </c>
    </row>
    <row r="26" spans="16:18" x14ac:dyDescent="0.3">
      <c r="P26">
        <v>11</v>
      </c>
      <c r="R26" t="s">
        <v>78</v>
      </c>
    </row>
    <row r="27" spans="16:18" x14ac:dyDescent="0.3">
      <c r="P27">
        <v>12</v>
      </c>
      <c r="R27" t="s">
        <v>79</v>
      </c>
    </row>
    <row r="28" spans="16:18" x14ac:dyDescent="0.3">
      <c r="P28">
        <v>13</v>
      </c>
      <c r="R28" t="s">
        <v>80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tabSelected="1" topLeftCell="A57" workbookViewId="0">
      <selection activeCell="B78" sqref="B78"/>
    </sheetView>
  </sheetViews>
  <sheetFormatPr defaultRowHeight="16.5" x14ac:dyDescent="0.3"/>
  <cols>
    <col min="1" max="1" width="12" style="14" customWidth="1"/>
    <col min="2" max="2" width="22" style="14" customWidth="1"/>
    <col min="3" max="3" width="10" style="14" customWidth="1"/>
    <col min="4" max="4" width="40" style="14" customWidth="1"/>
  </cols>
  <sheetData>
    <row r="1" spans="1:4" x14ac:dyDescent="0.3">
      <c r="A1" s="6" t="s">
        <v>81</v>
      </c>
      <c r="B1" s="6" t="s">
        <v>82</v>
      </c>
      <c r="C1" s="6" t="s">
        <v>83</v>
      </c>
    </row>
    <row r="2" spans="1:4" x14ac:dyDescent="0.3">
      <c r="A2" s="7">
        <v>1</v>
      </c>
      <c r="B2" s="7" t="s">
        <v>84</v>
      </c>
      <c r="C2" s="7" t="s">
        <v>68</v>
      </c>
    </row>
    <row r="3" spans="1:4" x14ac:dyDescent="0.3">
      <c r="A3" s="7">
        <v>2</v>
      </c>
      <c r="B3" s="7" t="s">
        <v>85</v>
      </c>
      <c r="C3" s="7" t="s">
        <v>69</v>
      </c>
    </row>
    <row r="4" spans="1:4" x14ac:dyDescent="0.3">
      <c r="A4" s="7">
        <v>3</v>
      </c>
      <c r="B4" s="7" t="s">
        <v>86</v>
      </c>
      <c r="C4" s="7" t="s">
        <v>70</v>
      </c>
    </row>
    <row r="5" spans="1:4" x14ac:dyDescent="0.3">
      <c r="A5" s="7">
        <v>4</v>
      </c>
      <c r="B5" s="7" t="s">
        <v>87</v>
      </c>
      <c r="C5" s="7" t="s">
        <v>71</v>
      </c>
    </row>
    <row r="6" spans="1:4" x14ac:dyDescent="0.3">
      <c r="A6" s="7">
        <v>5</v>
      </c>
      <c r="B6" s="7" t="s">
        <v>88</v>
      </c>
      <c r="C6" s="7" t="s">
        <v>72</v>
      </c>
    </row>
    <row r="7" spans="1:4" x14ac:dyDescent="0.3">
      <c r="A7" s="7">
        <v>6</v>
      </c>
      <c r="B7" s="7" t="s">
        <v>89</v>
      </c>
      <c r="C7" s="7" t="s">
        <v>90</v>
      </c>
    </row>
    <row r="8" spans="1:4" x14ac:dyDescent="0.3">
      <c r="A8" s="7">
        <v>7</v>
      </c>
      <c r="B8" s="7" t="s">
        <v>91</v>
      </c>
      <c r="C8" s="7" t="s">
        <v>92</v>
      </c>
    </row>
    <row r="9" spans="1:4" x14ac:dyDescent="0.3">
      <c r="A9">
        <v>8</v>
      </c>
      <c r="B9" t="s">
        <v>93</v>
      </c>
      <c r="C9" t="s">
        <v>75</v>
      </c>
    </row>
    <row r="10" spans="1:4" x14ac:dyDescent="0.3">
      <c r="A10">
        <v>9</v>
      </c>
      <c r="B10" t="s">
        <v>94</v>
      </c>
      <c r="C10" t="s">
        <v>95</v>
      </c>
    </row>
    <row r="11" spans="1:4" x14ac:dyDescent="0.3">
      <c r="A11">
        <v>10</v>
      </c>
      <c r="B11" t="s">
        <v>96</v>
      </c>
      <c r="C11" t="s">
        <v>77</v>
      </c>
    </row>
    <row r="12" spans="1:4" x14ac:dyDescent="0.3">
      <c r="A12">
        <v>11</v>
      </c>
      <c r="B12" t="s">
        <v>97</v>
      </c>
      <c r="C12" t="s">
        <v>78</v>
      </c>
    </row>
    <row r="13" spans="1:4" x14ac:dyDescent="0.3">
      <c r="A13">
        <v>12</v>
      </c>
      <c r="B13" t="s">
        <v>98</v>
      </c>
      <c r="C13" t="s">
        <v>79</v>
      </c>
    </row>
    <row r="14" spans="1:4" x14ac:dyDescent="0.3">
      <c r="A14">
        <v>13</v>
      </c>
      <c r="B14" t="s">
        <v>99</v>
      </c>
      <c r="C14" t="s">
        <v>80</v>
      </c>
    </row>
    <row r="16" spans="1:4" ht="17.25" customHeight="1" thickBot="1" x14ac:dyDescent="0.35">
      <c r="A16" s="8" t="s">
        <v>100</v>
      </c>
      <c r="B16" s="8" t="s">
        <v>101</v>
      </c>
      <c r="C16" s="8" t="s">
        <v>102</v>
      </c>
      <c r="D16" s="8" t="s">
        <v>103</v>
      </c>
    </row>
    <row r="17" spans="1:4" s="14" customFormat="1" ht="17.25" thickTop="1" x14ac:dyDescent="0.3">
      <c r="A17" s="9" t="s">
        <v>135</v>
      </c>
      <c r="B17" s="7" t="s">
        <v>140</v>
      </c>
      <c r="C17" s="10">
        <v>50</v>
      </c>
      <c r="D17" s="19">
        <f>SUM(C17:C18)/100</f>
        <v>1</v>
      </c>
    </row>
    <row r="18" spans="1:4" s="14" customFormat="1" x14ac:dyDescent="0.3">
      <c r="A18" s="11" t="s">
        <v>135</v>
      </c>
      <c r="B18" s="7" t="s">
        <v>147</v>
      </c>
      <c r="C18" s="7">
        <v>50</v>
      </c>
      <c r="D18" s="20"/>
    </row>
    <row r="19" spans="1:4" s="14" customFormat="1" x14ac:dyDescent="0.3">
      <c r="A19" s="11" t="s">
        <v>136</v>
      </c>
      <c r="B19" s="7" t="s">
        <v>145</v>
      </c>
      <c r="C19" s="7">
        <v>70</v>
      </c>
      <c r="D19" s="20">
        <f>SUM(C19:C20)/100</f>
        <v>1</v>
      </c>
    </row>
    <row r="20" spans="1:4" s="14" customFormat="1" x14ac:dyDescent="0.3">
      <c r="A20" s="11" t="s">
        <v>136</v>
      </c>
      <c r="B20" s="7" t="s">
        <v>147</v>
      </c>
      <c r="C20" s="7">
        <v>30</v>
      </c>
      <c r="D20" s="20"/>
    </row>
    <row r="21" spans="1:4" s="14" customFormat="1" x14ac:dyDescent="0.3">
      <c r="A21" s="11" t="s">
        <v>137</v>
      </c>
      <c r="B21" s="7" t="s">
        <v>143</v>
      </c>
      <c r="C21" s="7">
        <v>70</v>
      </c>
      <c r="D21" s="20">
        <f>SUM(C21:C22)/100</f>
        <v>1</v>
      </c>
    </row>
    <row r="22" spans="1:4" s="14" customFormat="1" x14ac:dyDescent="0.3">
      <c r="A22" s="11" t="s">
        <v>137</v>
      </c>
      <c r="B22" s="7" t="s">
        <v>141</v>
      </c>
      <c r="C22" s="7">
        <v>30</v>
      </c>
      <c r="D22" s="20"/>
    </row>
    <row r="23" spans="1:4" s="14" customFormat="1" x14ac:dyDescent="0.3">
      <c r="A23" s="11" t="s">
        <v>138</v>
      </c>
      <c r="B23" s="7" t="s">
        <v>148</v>
      </c>
      <c r="C23" s="7">
        <v>70</v>
      </c>
      <c r="D23" s="20">
        <f>SUM(C23:C24)/100</f>
        <v>1</v>
      </c>
    </row>
    <row r="24" spans="1:4" s="14" customFormat="1" ht="17.25" thickBot="1" x14ac:dyDescent="0.35">
      <c r="A24" s="11" t="s">
        <v>138</v>
      </c>
      <c r="B24" s="7" t="s">
        <v>142</v>
      </c>
      <c r="C24" s="7">
        <v>30</v>
      </c>
      <c r="D24" s="20"/>
    </row>
    <row r="25" spans="1:4" ht="17.25" customHeight="1" thickTop="1" thickBot="1" x14ac:dyDescent="0.35">
      <c r="A25" s="9" t="s">
        <v>30</v>
      </c>
      <c r="B25" s="10" t="s">
        <v>104</v>
      </c>
      <c r="C25" s="10">
        <v>60</v>
      </c>
      <c r="D25" s="16">
        <f>SUM(C25:C30)/100</f>
        <v>1</v>
      </c>
    </row>
    <row r="26" spans="1:4" x14ac:dyDescent="0.3">
      <c r="A26" s="11" t="s">
        <v>30</v>
      </c>
      <c r="B26" s="7" t="s">
        <v>105</v>
      </c>
      <c r="C26" s="7">
        <v>20</v>
      </c>
      <c r="D26" s="17"/>
    </row>
    <row r="27" spans="1:4" x14ac:dyDescent="0.3">
      <c r="A27" s="11" t="s">
        <v>30</v>
      </c>
      <c r="B27" s="7" t="s">
        <v>106</v>
      </c>
      <c r="C27" s="7">
        <v>10</v>
      </c>
      <c r="D27" s="17"/>
    </row>
    <row r="28" spans="1:4" x14ac:dyDescent="0.3">
      <c r="A28" s="11" t="s">
        <v>30</v>
      </c>
      <c r="B28" s="7" t="s">
        <v>107</v>
      </c>
      <c r="C28" s="7">
        <v>5</v>
      </c>
      <c r="D28" s="17"/>
    </row>
    <row r="29" spans="1:4" x14ac:dyDescent="0.3">
      <c r="A29" s="11" t="s">
        <v>30</v>
      </c>
      <c r="B29" s="7" t="s">
        <v>139</v>
      </c>
      <c r="C29" s="7">
        <v>3</v>
      </c>
      <c r="D29" s="17"/>
    </row>
    <row r="30" spans="1:4" ht="17.25" customHeight="1" thickBot="1" x14ac:dyDescent="0.35">
      <c r="A30" s="12" t="s">
        <v>30</v>
      </c>
      <c r="B30" s="13" t="s">
        <v>109</v>
      </c>
      <c r="C30" s="13">
        <v>2</v>
      </c>
      <c r="D30" s="18"/>
    </row>
    <row r="31" spans="1:4" ht="17.25" customHeight="1" thickTop="1" x14ac:dyDescent="0.3">
      <c r="A31" s="9" t="s">
        <v>32</v>
      </c>
      <c r="B31" s="10" t="s">
        <v>144</v>
      </c>
      <c r="C31" s="10">
        <v>60</v>
      </c>
      <c r="D31" s="16">
        <f>SUM(C31:C37)/100</f>
        <v>1</v>
      </c>
    </row>
    <row r="32" spans="1:4" ht="16.5" customHeight="1" x14ac:dyDescent="0.3">
      <c r="A32" s="11" t="s">
        <v>32</v>
      </c>
      <c r="B32" s="7" t="s">
        <v>143</v>
      </c>
      <c r="C32" s="7">
        <v>20</v>
      </c>
      <c r="D32" s="17"/>
    </row>
    <row r="33" spans="1:4" ht="16.5" customHeight="1" x14ac:dyDescent="0.3">
      <c r="A33" s="11" t="s">
        <v>32</v>
      </c>
      <c r="B33" s="7" t="s">
        <v>111</v>
      </c>
      <c r="C33" s="7">
        <v>5</v>
      </c>
      <c r="D33" s="17"/>
    </row>
    <row r="34" spans="1:4" ht="16.5" customHeight="1" x14ac:dyDescent="0.3">
      <c r="A34" s="11" t="s">
        <v>32</v>
      </c>
      <c r="B34" s="7" t="s">
        <v>112</v>
      </c>
      <c r="C34" s="7">
        <v>5</v>
      </c>
      <c r="D34" s="17"/>
    </row>
    <row r="35" spans="1:4" ht="16.5" customHeight="1" x14ac:dyDescent="0.3">
      <c r="A35" s="11" t="s">
        <v>32</v>
      </c>
      <c r="B35" s="7" t="s">
        <v>148</v>
      </c>
      <c r="C35" s="7">
        <v>5</v>
      </c>
      <c r="D35" s="17"/>
    </row>
    <row r="36" spans="1:4" ht="16.5" customHeight="1" x14ac:dyDescent="0.3">
      <c r="A36" s="11" t="s">
        <v>32</v>
      </c>
      <c r="B36" s="7" t="s">
        <v>149</v>
      </c>
      <c r="C36" s="7">
        <v>3</v>
      </c>
      <c r="D36" s="17"/>
    </row>
    <row r="37" spans="1:4" ht="17.25" customHeight="1" thickBot="1" x14ac:dyDescent="0.35">
      <c r="A37" s="12" t="s">
        <v>32</v>
      </c>
      <c r="B37" s="13" t="s">
        <v>113</v>
      </c>
      <c r="C37" s="13">
        <v>2</v>
      </c>
      <c r="D37" s="18"/>
    </row>
    <row r="38" spans="1:4" ht="17.25" customHeight="1" thickTop="1" x14ac:dyDescent="0.3">
      <c r="A38" s="9" t="s">
        <v>36</v>
      </c>
      <c r="B38" s="10" t="s">
        <v>110</v>
      </c>
      <c r="C38" s="10">
        <v>60</v>
      </c>
      <c r="D38" s="16">
        <f>SUM(C38:C47)/100</f>
        <v>1</v>
      </c>
    </row>
    <row r="39" spans="1:4" ht="16.5" customHeight="1" x14ac:dyDescent="0.3">
      <c r="A39" s="11" t="s">
        <v>36</v>
      </c>
      <c r="B39" s="7" t="s">
        <v>145</v>
      </c>
      <c r="C39" s="7">
        <v>10</v>
      </c>
      <c r="D39" s="17"/>
    </row>
    <row r="40" spans="1:4" ht="16.5" customHeight="1" x14ac:dyDescent="0.3">
      <c r="A40" s="11" t="s">
        <v>36</v>
      </c>
      <c r="B40" s="7" t="s">
        <v>115</v>
      </c>
      <c r="C40" s="7">
        <v>10</v>
      </c>
      <c r="D40" s="17"/>
    </row>
    <row r="41" spans="1:4" ht="16.5" customHeight="1" x14ac:dyDescent="0.3">
      <c r="A41" s="11" t="s">
        <v>36</v>
      </c>
      <c r="B41" s="7" t="s">
        <v>116</v>
      </c>
      <c r="C41" s="7">
        <v>8</v>
      </c>
      <c r="D41" s="17"/>
    </row>
    <row r="42" spans="1:4" ht="16.5" customHeight="1" x14ac:dyDescent="0.3">
      <c r="A42" s="11" t="s">
        <v>36</v>
      </c>
      <c r="B42" s="7" t="s">
        <v>117</v>
      </c>
      <c r="C42" s="7">
        <v>5</v>
      </c>
      <c r="D42" s="17"/>
    </row>
    <row r="43" spans="1:4" ht="16.5" customHeight="1" x14ac:dyDescent="0.3">
      <c r="A43" s="11" t="s">
        <v>36</v>
      </c>
      <c r="B43" s="7" t="s">
        <v>118</v>
      </c>
      <c r="C43" s="7">
        <v>2</v>
      </c>
      <c r="D43" s="17"/>
    </row>
    <row r="44" spans="1:4" ht="16.5" customHeight="1" x14ac:dyDescent="0.3">
      <c r="A44" s="11" t="s">
        <v>36</v>
      </c>
      <c r="B44" s="7" t="s">
        <v>119</v>
      </c>
      <c r="C44" s="7">
        <v>2</v>
      </c>
      <c r="D44" s="17"/>
    </row>
    <row r="45" spans="1:4" ht="17.25" customHeight="1" x14ac:dyDescent="0.3">
      <c r="A45" s="11" t="s">
        <v>36</v>
      </c>
      <c r="B45" s="7" t="s">
        <v>120</v>
      </c>
      <c r="C45" s="7">
        <v>1</v>
      </c>
      <c r="D45" s="17"/>
    </row>
    <row r="46" spans="1:4" ht="17.25" customHeight="1" x14ac:dyDescent="0.3">
      <c r="A46" s="11" t="s">
        <v>36</v>
      </c>
      <c r="B46" s="7" t="s">
        <v>121</v>
      </c>
      <c r="C46" s="7">
        <v>1</v>
      </c>
      <c r="D46" s="17"/>
    </row>
    <row r="47" spans="1:4" ht="18" customHeight="1" thickBot="1" x14ac:dyDescent="0.35">
      <c r="A47" s="12" t="s">
        <v>36</v>
      </c>
      <c r="B47" s="13" t="s">
        <v>122</v>
      </c>
      <c r="C47" s="13">
        <v>1</v>
      </c>
      <c r="D47" s="18"/>
    </row>
    <row r="48" spans="1:4" ht="17.25" customHeight="1" thickTop="1" x14ac:dyDescent="0.3">
      <c r="A48" s="9" t="s">
        <v>40</v>
      </c>
      <c r="B48" s="10" t="s">
        <v>114</v>
      </c>
      <c r="C48" s="10">
        <v>60</v>
      </c>
      <c r="D48" s="16">
        <f>SUM(C48:C55)/100</f>
        <v>1</v>
      </c>
    </row>
    <row r="49" spans="1:11" x14ac:dyDescent="0.3">
      <c r="A49" s="11" t="s">
        <v>40</v>
      </c>
      <c r="B49" s="7" t="s">
        <v>123</v>
      </c>
      <c r="C49" s="7">
        <v>20</v>
      </c>
      <c r="D49" s="17"/>
    </row>
    <row r="50" spans="1:11" x14ac:dyDescent="0.3">
      <c r="A50" s="11" t="s">
        <v>40</v>
      </c>
      <c r="B50" s="7" t="s">
        <v>124</v>
      </c>
      <c r="C50" s="7">
        <v>9</v>
      </c>
      <c r="D50" s="17"/>
    </row>
    <row r="51" spans="1:11" ht="17.25" customHeight="1" thickBot="1" x14ac:dyDescent="0.35">
      <c r="A51" s="11" t="s">
        <v>40</v>
      </c>
      <c r="B51" s="7" t="s">
        <v>118</v>
      </c>
      <c r="C51" s="7">
        <v>4</v>
      </c>
      <c r="D51" s="17"/>
    </row>
    <row r="52" spans="1:11" ht="17.25" customHeight="1" thickTop="1" x14ac:dyDescent="0.3">
      <c r="A52" s="11" t="s">
        <v>40</v>
      </c>
      <c r="B52" s="7" t="s">
        <v>119</v>
      </c>
      <c r="C52" s="7">
        <v>4</v>
      </c>
      <c r="D52" s="17"/>
      <c r="I52" s="10" t="s">
        <v>58</v>
      </c>
      <c r="J52" s="7" t="s">
        <v>118</v>
      </c>
      <c r="K52" s="7">
        <v>30</v>
      </c>
    </row>
    <row r="53" spans="1:11" x14ac:dyDescent="0.3">
      <c r="A53" s="11" t="s">
        <v>40</v>
      </c>
      <c r="B53" s="7" t="s">
        <v>125</v>
      </c>
      <c r="C53" s="7">
        <v>1</v>
      </c>
      <c r="D53" s="17"/>
      <c r="I53" s="7" t="s">
        <v>58</v>
      </c>
      <c r="J53" s="7" t="s">
        <v>119</v>
      </c>
      <c r="K53" s="7">
        <v>30</v>
      </c>
    </row>
    <row r="54" spans="1:11" x14ac:dyDescent="0.3">
      <c r="A54" s="11" t="s">
        <v>40</v>
      </c>
      <c r="B54" s="7" t="s">
        <v>126</v>
      </c>
      <c r="C54" s="7">
        <v>1</v>
      </c>
      <c r="D54" s="17"/>
      <c r="I54" s="7" t="s">
        <v>58</v>
      </c>
      <c r="J54" s="7" t="s">
        <v>127</v>
      </c>
      <c r="K54" s="7">
        <v>15</v>
      </c>
    </row>
    <row r="55" spans="1:11" ht="17.25" customHeight="1" thickBot="1" x14ac:dyDescent="0.35">
      <c r="A55" s="12" t="s">
        <v>40</v>
      </c>
      <c r="B55" s="13" t="s">
        <v>128</v>
      </c>
      <c r="C55" s="13">
        <v>1</v>
      </c>
      <c r="D55" s="18"/>
      <c r="I55" s="7" t="s">
        <v>58</v>
      </c>
      <c r="J55" s="7" t="s">
        <v>109</v>
      </c>
      <c r="K55" s="7">
        <v>15</v>
      </c>
    </row>
    <row r="56" spans="1:11" ht="17.25" customHeight="1" thickTop="1" thickBot="1" x14ac:dyDescent="0.35">
      <c r="A56" s="9" t="s">
        <v>43</v>
      </c>
      <c r="B56" s="10" t="s">
        <v>140</v>
      </c>
      <c r="C56" s="10">
        <v>51</v>
      </c>
      <c r="D56" s="16">
        <f>SUM(C56:C64)/100</f>
        <v>1</v>
      </c>
      <c r="I56" s="13" t="s">
        <v>58</v>
      </c>
      <c r="J56" s="13" t="s">
        <v>129</v>
      </c>
      <c r="K56" s="13">
        <v>10</v>
      </c>
    </row>
    <row r="57" spans="1:11" ht="17.25" customHeight="1" thickTop="1" x14ac:dyDescent="0.3">
      <c r="A57" s="11" t="s">
        <v>43</v>
      </c>
      <c r="B57" s="7" t="s">
        <v>104</v>
      </c>
      <c r="C57" s="7">
        <v>20</v>
      </c>
      <c r="D57" s="17"/>
      <c r="I57" s="11"/>
      <c r="J57" s="7"/>
      <c r="K57" s="7"/>
    </row>
    <row r="58" spans="1:11" x14ac:dyDescent="0.3">
      <c r="A58" s="11" t="s">
        <v>43</v>
      </c>
      <c r="B58" s="7" t="s">
        <v>130</v>
      </c>
      <c r="C58" s="7">
        <v>8</v>
      </c>
      <c r="D58" s="17"/>
      <c r="I58" s="11"/>
      <c r="J58" s="7"/>
      <c r="K58" s="7"/>
    </row>
    <row r="59" spans="1:11" x14ac:dyDescent="0.3">
      <c r="A59" s="11" t="s">
        <v>43</v>
      </c>
      <c r="B59" s="7" t="s">
        <v>118</v>
      </c>
      <c r="C59" s="7">
        <v>8</v>
      </c>
      <c r="D59" s="17"/>
      <c r="I59" s="11"/>
      <c r="J59" s="7"/>
      <c r="K59" s="7"/>
    </row>
    <row r="60" spans="1:11" x14ac:dyDescent="0.3">
      <c r="A60" s="11" t="s">
        <v>43</v>
      </c>
      <c r="B60" s="7" t="s">
        <v>119</v>
      </c>
      <c r="C60" s="7">
        <v>8</v>
      </c>
      <c r="D60" s="17"/>
      <c r="I60" s="11"/>
      <c r="J60" s="7"/>
      <c r="K60" s="7"/>
    </row>
    <row r="61" spans="1:11" ht="17.25" customHeight="1" thickBot="1" x14ac:dyDescent="0.35">
      <c r="A61" s="11" t="s">
        <v>43</v>
      </c>
      <c r="B61" s="7" t="s">
        <v>107</v>
      </c>
      <c r="C61" s="7">
        <v>2</v>
      </c>
      <c r="D61" s="17"/>
      <c r="I61" s="12"/>
      <c r="J61" s="13"/>
      <c r="K61" s="13"/>
    </row>
    <row r="62" spans="1:11" ht="17.25" customHeight="1" thickTop="1" x14ac:dyDescent="0.3">
      <c r="A62" s="11" t="s">
        <v>43</v>
      </c>
      <c r="B62" s="7" t="s">
        <v>131</v>
      </c>
      <c r="C62" s="7">
        <v>1</v>
      </c>
      <c r="D62" s="17"/>
    </row>
    <row r="63" spans="1:11" x14ac:dyDescent="0.3">
      <c r="A63" s="11" t="s">
        <v>43</v>
      </c>
      <c r="B63" s="7" t="s">
        <v>132</v>
      </c>
      <c r="C63" s="7">
        <v>1</v>
      </c>
      <c r="D63" s="17"/>
    </row>
    <row r="64" spans="1:11" ht="17.25" customHeight="1" thickBot="1" x14ac:dyDescent="0.35">
      <c r="A64" s="12" t="s">
        <v>43</v>
      </c>
      <c r="B64" s="13" t="s">
        <v>133</v>
      </c>
      <c r="C64" s="13">
        <v>1</v>
      </c>
      <c r="D64" s="18"/>
    </row>
    <row r="65" spans="1:6" ht="17.25" customHeight="1" thickTop="1" x14ac:dyDescent="0.3">
      <c r="A65" s="10" t="s">
        <v>47</v>
      </c>
      <c r="B65" s="10" t="s">
        <v>104</v>
      </c>
      <c r="C65" s="10">
        <v>50</v>
      </c>
      <c r="D65" s="16">
        <f>SUM(C65:C72)/100</f>
        <v>1</v>
      </c>
    </row>
    <row r="66" spans="1:6" x14ac:dyDescent="0.3">
      <c r="A66" s="7" t="s">
        <v>47</v>
      </c>
      <c r="B66" s="7" t="s">
        <v>118</v>
      </c>
      <c r="C66" s="7">
        <v>16</v>
      </c>
      <c r="D66" s="17"/>
    </row>
    <row r="67" spans="1:6" x14ac:dyDescent="0.3">
      <c r="A67" s="7" t="s">
        <v>47</v>
      </c>
      <c r="B67" s="7" t="s">
        <v>119</v>
      </c>
      <c r="C67" s="7">
        <v>16</v>
      </c>
      <c r="D67" s="17"/>
    </row>
    <row r="68" spans="1:6" x14ac:dyDescent="0.3">
      <c r="A68" s="7" t="s">
        <v>47</v>
      </c>
      <c r="B68" s="7" t="s">
        <v>106</v>
      </c>
      <c r="C68" s="7">
        <v>12</v>
      </c>
      <c r="D68" s="17"/>
    </row>
    <row r="69" spans="1:6" x14ac:dyDescent="0.3">
      <c r="A69" s="7" t="s">
        <v>47</v>
      </c>
      <c r="B69" s="7" t="s">
        <v>108</v>
      </c>
      <c r="C69" s="7">
        <v>2</v>
      </c>
      <c r="D69" s="17"/>
    </row>
    <row r="70" spans="1:6" x14ac:dyDescent="0.3">
      <c r="A70" s="7" t="s">
        <v>47</v>
      </c>
      <c r="B70" s="14" t="s">
        <v>151</v>
      </c>
      <c r="C70" s="7">
        <v>2</v>
      </c>
      <c r="D70" s="17"/>
    </row>
    <row r="71" spans="1:6" x14ac:dyDescent="0.3">
      <c r="A71" s="7" t="s">
        <v>47</v>
      </c>
      <c r="B71" s="7" t="s">
        <v>131</v>
      </c>
      <c r="C71" s="7">
        <v>1</v>
      </c>
      <c r="D71" s="17"/>
    </row>
    <row r="72" spans="1:6" ht="17.25" customHeight="1" thickBot="1" x14ac:dyDescent="0.35">
      <c r="A72" s="13" t="s">
        <v>47</v>
      </c>
      <c r="B72" s="13" t="s">
        <v>134</v>
      </c>
      <c r="C72" s="13">
        <v>1</v>
      </c>
      <c r="D72" s="18"/>
    </row>
    <row r="73" spans="1:6" ht="17.25" customHeight="1" thickTop="1" thickBot="1" x14ac:dyDescent="0.35">
      <c r="A73" s="10" t="s">
        <v>51</v>
      </c>
      <c r="B73" s="10" t="s">
        <v>104</v>
      </c>
      <c r="C73" s="10">
        <v>20</v>
      </c>
      <c r="D73" s="16">
        <f>SUM(C73:C85)/100</f>
        <v>1</v>
      </c>
      <c r="F73" s="14"/>
    </row>
    <row r="74" spans="1:6" ht="17.25" customHeight="1" thickTop="1" x14ac:dyDescent="0.3">
      <c r="A74" s="7" t="s">
        <v>51</v>
      </c>
      <c r="B74" s="7" t="s">
        <v>118</v>
      </c>
      <c r="C74" s="7">
        <v>18</v>
      </c>
      <c r="D74" s="17"/>
    </row>
    <row r="75" spans="1:6" x14ac:dyDescent="0.3">
      <c r="A75" s="7" t="s">
        <v>51</v>
      </c>
      <c r="B75" s="7" t="s">
        <v>119</v>
      </c>
      <c r="C75" s="7">
        <v>18</v>
      </c>
      <c r="D75" s="17"/>
    </row>
    <row r="76" spans="1:6" x14ac:dyDescent="0.3">
      <c r="A76" s="7" t="s">
        <v>51</v>
      </c>
      <c r="B76" s="7" t="s">
        <v>109</v>
      </c>
      <c r="C76" s="7">
        <v>10</v>
      </c>
      <c r="D76" s="17"/>
    </row>
    <row r="77" spans="1:6" x14ac:dyDescent="0.3">
      <c r="A77" s="7" t="s">
        <v>51</v>
      </c>
      <c r="B77" s="7" t="s">
        <v>127</v>
      </c>
      <c r="C77" s="7">
        <v>10</v>
      </c>
      <c r="D77" s="17"/>
    </row>
    <row r="78" spans="1:6" s="14" customFormat="1" x14ac:dyDescent="0.3">
      <c r="A78" s="7" t="s">
        <v>51</v>
      </c>
      <c r="B78" s="7" t="s">
        <v>152</v>
      </c>
      <c r="C78" s="7">
        <v>6</v>
      </c>
      <c r="D78" s="17"/>
    </row>
    <row r="79" spans="1:6" x14ac:dyDescent="0.3">
      <c r="A79" s="7" t="s">
        <v>51</v>
      </c>
      <c r="B79" s="7" t="s">
        <v>129</v>
      </c>
      <c r="C79" s="7">
        <v>3</v>
      </c>
      <c r="D79" s="17"/>
    </row>
    <row r="80" spans="1:6" x14ac:dyDescent="0.3">
      <c r="A80" s="7" t="s">
        <v>51</v>
      </c>
      <c r="B80" s="7" t="s">
        <v>131</v>
      </c>
      <c r="C80" s="7">
        <v>2</v>
      </c>
      <c r="D80" s="17"/>
    </row>
    <row r="81" spans="1:4" x14ac:dyDescent="0.3">
      <c r="A81" s="7" t="s">
        <v>51</v>
      </c>
      <c r="B81" s="7" t="s">
        <v>128</v>
      </c>
      <c r="C81" s="7">
        <v>3</v>
      </c>
      <c r="D81" s="17"/>
    </row>
    <row r="82" spans="1:4" x14ac:dyDescent="0.3">
      <c r="A82" s="7" t="s">
        <v>51</v>
      </c>
      <c r="B82" s="7" t="s">
        <v>133</v>
      </c>
      <c r="C82" s="7">
        <v>3</v>
      </c>
      <c r="D82" s="17"/>
    </row>
    <row r="83" spans="1:4" x14ac:dyDescent="0.3">
      <c r="A83" s="7" t="s">
        <v>51</v>
      </c>
      <c r="B83" s="7" t="s">
        <v>134</v>
      </c>
      <c r="C83" s="7">
        <v>3</v>
      </c>
      <c r="D83" s="17"/>
    </row>
    <row r="84" spans="1:4" s="14" customFormat="1" ht="17.25" customHeight="1" x14ac:dyDescent="0.3">
      <c r="A84" s="7" t="s">
        <v>51</v>
      </c>
      <c r="B84" s="7" t="s">
        <v>122</v>
      </c>
      <c r="C84" s="7">
        <v>3</v>
      </c>
      <c r="D84" s="17"/>
    </row>
    <row r="85" spans="1:4" ht="17.25" customHeight="1" thickBot="1" x14ac:dyDescent="0.35">
      <c r="A85" s="13" t="s">
        <v>51</v>
      </c>
      <c r="B85" s="13" t="s">
        <v>150</v>
      </c>
      <c r="C85" s="13">
        <v>1</v>
      </c>
      <c r="D85" s="18"/>
    </row>
    <row r="86" spans="1:4" ht="17.25" customHeight="1" thickTop="1" thickBot="1" x14ac:dyDescent="0.35">
      <c r="A86" s="10" t="s">
        <v>58</v>
      </c>
      <c r="B86" s="10" t="s">
        <v>118</v>
      </c>
      <c r="C86" s="10">
        <v>30</v>
      </c>
      <c r="D86" s="16">
        <f>SUM(C86:C92)/100</f>
        <v>1</v>
      </c>
    </row>
    <row r="87" spans="1:4" ht="17.25" customHeight="1" thickTop="1" x14ac:dyDescent="0.3">
      <c r="A87" s="7" t="s">
        <v>58</v>
      </c>
      <c r="B87" s="7" t="s">
        <v>119</v>
      </c>
      <c r="C87" s="7">
        <v>28</v>
      </c>
      <c r="D87" s="17"/>
    </row>
    <row r="88" spans="1:4" x14ac:dyDescent="0.3">
      <c r="A88" s="7" t="s">
        <v>58</v>
      </c>
      <c r="B88" s="7" t="s">
        <v>127</v>
      </c>
      <c r="C88" s="7">
        <v>10</v>
      </c>
      <c r="D88" s="17"/>
    </row>
    <row r="89" spans="1:4" s="14" customFormat="1" ht="16.5" customHeight="1" x14ac:dyDescent="0.3">
      <c r="A89" s="7" t="s">
        <v>58</v>
      </c>
      <c r="B89" s="7" t="s">
        <v>109</v>
      </c>
      <c r="C89" s="7">
        <v>10</v>
      </c>
      <c r="D89" s="17"/>
    </row>
    <row r="90" spans="1:4" ht="16.5" customHeight="1" x14ac:dyDescent="0.3">
      <c r="A90" s="7" t="s">
        <v>58</v>
      </c>
      <c r="B90" s="7" t="s">
        <v>129</v>
      </c>
      <c r="C90" s="7">
        <v>10</v>
      </c>
      <c r="D90" s="17"/>
    </row>
    <row r="91" spans="1:4" s="14" customFormat="1" ht="17.25" customHeight="1" x14ac:dyDescent="0.3">
      <c r="A91" s="7" t="s">
        <v>58</v>
      </c>
      <c r="B91" s="21" t="s">
        <v>151</v>
      </c>
      <c r="C91" s="7">
        <v>10</v>
      </c>
      <c r="D91" s="17"/>
    </row>
    <row r="92" spans="1:4" ht="17.25" customHeight="1" thickBot="1" x14ac:dyDescent="0.35">
      <c r="A92" s="13" t="s">
        <v>58</v>
      </c>
      <c r="B92" s="13" t="s">
        <v>150</v>
      </c>
      <c r="C92" s="13">
        <v>2</v>
      </c>
      <c r="D92" s="18"/>
    </row>
    <row r="93" spans="1:4" ht="17.25" customHeight="1" thickTop="1" x14ac:dyDescent="0.3"/>
    <row r="94" spans="1:4" x14ac:dyDescent="0.3">
      <c r="A94"/>
      <c r="B94"/>
      <c r="C94"/>
      <c r="D94"/>
    </row>
    <row r="95" spans="1:4" x14ac:dyDescent="0.3">
      <c r="A95"/>
      <c r="B95"/>
      <c r="C95"/>
    </row>
    <row r="96" spans="1:4" x14ac:dyDescent="0.3">
      <c r="A96"/>
      <c r="B96"/>
      <c r="C96"/>
    </row>
    <row r="97" spans="1:3" x14ac:dyDescent="0.3">
      <c r="A97"/>
      <c r="B97"/>
      <c r="C97"/>
    </row>
    <row r="98" spans="1:3" x14ac:dyDescent="0.3">
      <c r="A98"/>
      <c r="B98"/>
      <c r="C98"/>
    </row>
    <row r="99" spans="1:3" x14ac:dyDescent="0.3">
      <c r="A99"/>
      <c r="B99"/>
      <c r="C99"/>
    </row>
    <row r="100" spans="1:3" x14ac:dyDescent="0.3">
      <c r="A100"/>
      <c r="B100"/>
      <c r="C100"/>
    </row>
    <row r="101" spans="1:3" x14ac:dyDescent="0.3">
      <c r="A101"/>
      <c r="B101"/>
      <c r="C101"/>
    </row>
    <row r="102" spans="1:3" x14ac:dyDescent="0.3">
      <c r="A102"/>
      <c r="B102"/>
      <c r="C102"/>
    </row>
    <row r="103" spans="1:3" x14ac:dyDescent="0.3">
      <c r="A103"/>
      <c r="B103"/>
      <c r="C103"/>
    </row>
    <row r="104" spans="1:3" x14ac:dyDescent="0.3">
      <c r="A104"/>
      <c r="B104"/>
      <c r="C104"/>
    </row>
    <row r="105" spans="1:3" x14ac:dyDescent="0.3">
      <c r="A105"/>
      <c r="B105"/>
      <c r="C105"/>
    </row>
  </sheetData>
  <autoFilter ref="I51:K51" xr:uid="{00000000-0009-0000-0000-000001000000}">
    <sortState xmlns:xlrd2="http://schemas.microsoft.com/office/spreadsheetml/2017/richdata2" ref="I52:K56">
      <sortCondition descending="1" ref="K51"/>
    </sortState>
  </autoFilter>
  <mergeCells count="12">
    <mergeCell ref="D86:D92"/>
    <mergeCell ref="D31:D37"/>
    <mergeCell ref="D56:D64"/>
    <mergeCell ref="D17:D18"/>
    <mergeCell ref="D19:D20"/>
    <mergeCell ref="D21:D22"/>
    <mergeCell ref="D23:D24"/>
    <mergeCell ref="D73:D85"/>
    <mergeCell ref="D48:D55"/>
    <mergeCell ref="D65:D72"/>
    <mergeCell ref="D38:D47"/>
    <mergeCell ref="D25:D30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레이드설정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2026-03-27T04:36:32Z</dcterms:created>
  <dcterms:modified xsi:type="dcterms:W3CDTF">2026-05-03T07:48:31Z</dcterms:modified>
</cp:coreProperties>
</file>